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5150" windowHeight="4260" activeTab="2"/>
  </bookViews>
  <sheets>
    <sheet name="基本信息" sheetId="1" r:id="rId1"/>
    <sheet name="团队信息" sheetId="2" r:id="rId2"/>
    <sheet name="行程信息" sheetId="3" r:id="rId3"/>
    <sheet name="数据表" sheetId="11" state="hidden" r:id="rId4"/>
  </sheets>
  <functionGroups/>
  <externalReferences>
    <externalReference r:id="rId5"/>
  </externalReferences>
  <definedNames>
    <definedName name="二级">#REF!</definedName>
    <definedName name="杭州">#REF!</definedName>
    <definedName name="杭州餐厅">#REF!</definedName>
    <definedName name="杭州饭店">#REF!</definedName>
    <definedName name="杭州购物点">#REF!</definedName>
    <definedName name="杭州景点">#REF!</definedName>
    <definedName name="杭州丽水">#REF!</definedName>
    <definedName name="杭州住宿">#REF!</definedName>
    <definedName name="嘉兴餐厅">#REF!</definedName>
    <definedName name="嘉兴景点">#REF!</definedName>
    <definedName name="嘉兴住宿">#REF!</definedName>
    <definedName name="丽水餐厅">#REF!</definedName>
    <definedName name="丽水饭店">#REF!</definedName>
    <definedName name="丽水购物点">#REF!</definedName>
    <definedName name="丽水景点">#REF!</definedName>
    <definedName name="丽水酒店">#REF!</definedName>
    <definedName name="丽水住宿">#REF!</definedName>
    <definedName name="南京餐厅">#REF!</definedName>
    <definedName name="南京景点">#REF!</definedName>
    <definedName name="南京住宿">#REF!</definedName>
    <definedName name="宁波餐厅">#REF!</definedName>
    <definedName name="宁波饭店">#REF!</definedName>
    <definedName name="宁波购物点">#REF!</definedName>
    <definedName name="宁波景点">#REF!</definedName>
    <definedName name="三级">#REF!</definedName>
    <definedName name="上海餐厅">#REF!</definedName>
    <definedName name="上海景点">#REF!</definedName>
    <definedName name="上海住宿">#REF!</definedName>
    <definedName name="绍兴景点">#REF!</definedName>
    <definedName name="绍兴住宿">#REF!</definedName>
    <definedName name="苏州餐厅">#REF!</definedName>
    <definedName name="苏州景点">#REF!</definedName>
    <definedName name="苏州住宿">#REF!</definedName>
    <definedName name="台州餐厅">#REF!</definedName>
    <definedName name="台州饭店">#REF!</definedName>
    <definedName name="台州购物点">#REF!</definedName>
    <definedName name="台州景点">#REF!</definedName>
    <definedName name="台州住宿">#REF!</definedName>
    <definedName name="温州餐厅">#REF!</definedName>
    <definedName name="温州饭店">#REF!</definedName>
    <definedName name="温州购物点">#REF!</definedName>
    <definedName name="温州景点">#REF!</definedName>
    <definedName name="无锡餐厅">#REF!</definedName>
    <definedName name="无锡景点">#REF!</definedName>
    <definedName name="无锡住宿">#REF!</definedName>
    <definedName name="一级">#REF!</definedName>
  </definedNames>
  <calcPr calcId="124519"/>
</workbook>
</file>

<file path=xl/calcChain.xml><?xml version="1.0" encoding="utf-8"?>
<calcChain xmlns="http://schemas.openxmlformats.org/spreadsheetml/2006/main">
  <c r="E2" i="1"/>
  <c r="F8" i="2"/>
  <c r="F59"/>
  <c r="F38"/>
  <c r="F52"/>
  <c r="F39"/>
  <c r="F32"/>
  <c r="F84"/>
  <c r="F53"/>
  <c r="F113"/>
  <c r="F87"/>
  <c r="F46"/>
  <c r="F98"/>
  <c r="F56"/>
  <c r="F57"/>
  <c r="F20"/>
  <c r="F88"/>
  <c r="F6"/>
  <c r="F4"/>
  <c r="F86"/>
  <c r="F19"/>
  <c r="F92"/>
  <c r="F83"/>
  <c r="F51"/>
  <c r="F48"/>
  <c r="F43"/>
  <c r="F67"/>
  <c r="F25"/>
  <c r="F3"/>
  <c r="F26"/>
  <c r="F114"/>
  <c r="F93"/>
  <c r="F54"/>
  <c r="F105"/>
  <c r="F108"/>
  <c r="F76"/>
  <c r="F34"/>
  <c r="F94"/>
  <c r="F61"/>
  <c r="F100"/>
  <c r="F91"/>
  <c r="F101"/>
  <c r="F69"/>
  <c r="F7"/>
  <c r="F11"/>
  <c r="F16"/>
  <c r="F9"/>
  <c r="F107"/>
  <c r="F77"/>
  <c r="F15"/>
  <c r="F30"/>
  <c r="F70"/>
  <c r="F62"/>
  <c r="F82"/>
  <c r="F13"/>
  <c r="F35"/>
  <c r="F55"/>
  <c r="F28"/>
  <c r="F65"/>
  <c r="F14"/>
  <c r="F71"/>
  <c r="F44"/>
  <c r="F2"/>
  <c r="F58"/>
  <c r="F10"/>
  <c r="F78"/>
  <c r="F12"/>
  <c r="F109"/>
  <c r="F89"/>
  <c r="F73"/>
  <c r="F31"/>
  <c r="F18"/>
  <c r="F80"/>
  <c r="F103"/>
  <c r="F85"/>
  <c r="F63"/>
  <c r="F96"/>
  <c r="F40"/>
  <c r="F22"/>
  <c r="F90"/>
  <c r="F95"/>
  <c r="F17"/>
  <c r="F111"/>
  <c r="F41"/>
  <c r="F81"/>
  <c r="F23"/>
  <c r="F97"/>
  <c r="F64"/>
  <c r="F47"/>
  <c r="F102"/>
  <c r="F50"/>
  <c r="F74"/>
  <c r="F72"/>
  <c r="F24"/>
  <c r="F45"/>
  <c r="F99"/>
  <c r="F106"/>
  <c r="F75"/>
  <c r="F60"/>
  <c r="F36"/>
  <c r="F112"/>
  <c r="F21"/>
  <c r="F37"/>
  <c r="F33"/>
  <c r="F68"/>
  <c r="F110"/>
  <c r="F104"/>
  <c r="F42"/>
  <c r="F49"/>
  <c r="F27"/>
  <c r="F66"/>
  <c r="F29"/>
  <c r="F5"/>
  <c r="F79"/>
</calcChain>
</file>

<file path=xl/sharedStrings.xml><?xml version="1.0" encoding="utf-8"?>
<sst xmlns="http://schemas.openxmlformats.org/spreadsheetml/2006/main" count="382" uniqueCount="274">
  <si>
    <t>身份证号</t>
    <phoneticPr fontId="1" type="noConversion"/>
  </si>
  <si>
    <t>电话号码</t>
    <phoneticPr fontId="1" type="noConversion"/>
  </si>
  <si>
    <t>导游</t>
    <phoneticPr fontId="1" type="noConversion"/>
  </si>
  <si>
    <t>司机</t>
    <phoneticPr fontId="1" type="noConversion"/>
  </si>
  <si>
    <t>成人游客</t>
    <phoneticPr fontId="1" type="noConversion"/>
  </si>
  <si>
    <t>团队名称</t>
    <phoneticPr fontId="1" type="noConversion"/>
  </si>
  <si>
    <t>人数</t>
    <phoneticPr fontId="1" type="noConversion"/>
  </si>
  <si>
    <t>日期</t>
    <phoneticPr fontId="1" type="noConversion"/>
  </si>
  <si>
    <t>早餐</t>
    <phoneticPr fontId="1" type="noConversion"/>
  </si>
  <si>
    <t>中餐</t>
    <phoneticPr fontId="1" type="noConversion"/>
  </si>
  <si>
    <t>晚餐</t>
    <phoneticPr fontId="1" type="noConversion"/>
  </si>
  <si>
    <t>外婆家</t>
    <phoneticPr fontId="1" type="noConversion"/>
  </si>
  <si>
    <t>上车集合点</t>
    <phoneticPr fontId="1" type="noConversion"/>
  </si>
  <si>
    <t>返程点</t>
    <phoneticPr fontId="1" type="noConversion"/>
  </si>
  <si>
    <t>成人</t>
    <phoneticPr fontId="1" type="noConversion"/>
  </si>
  <si>
    <t>儿童</t>
    <phoneticPr fontId="1" type="noConversion"/>
  </si>
  <si>
    <t>类型</t>
    <phoneticPr fontId="1" type="noConversion"/>
  </si>
  <si>
    <t>姓名</t>
    <phoneticPr fontId="1" type="noConversion"/>
  </si>
  <si>
    <t>证号</t>
    <phoneticPr fontId="1" type="noConversion"/>
  </si>
  <si>
    <t>浙A00001</t>
    <phoneticPr fontId="1" type="noConversion"/>
  </si>
  <si>
    <t>地区</t>
    <phoneticPr fontId="1" type="noConversion"/>
  </si>
  <si>
    <t>杭州</t>
  </si>
  <si>
    <t>杭州</t>
    <phoneticPr fontId="1" type="noConversion"/>
  </si>
  <si>
    <t>景点1</t>
    <phoneticPr fontId="1" type="noConversion"/>
  </si>
  <si>
    <t>景点2</t>
    <phoneticPr fontId="1" type="noConversion"/>
  </si>
  <si>
    <t>景点3</t>
    <phoneticPr fontId="1" type="noConversion"/>
  </si>
  <si>
    <t>景点4</t>
    <phoneticPr fontId="1" type="noConversion"/>
  </si>
  <si>
    <t>景点5</t>
    <phoneticPr fontId="1" type="noConversion"/>
  </si>
  <si>
    <t>购物点1</t>
    <phoneticPr fontId="1" type="noConversion"/>
  </si>
  <si>
    <t>购物点2</t>
    <phoneticPr fontId="1" type="noConversion"/>
  </si>
  <si>
    <t>购物点3</t>
    <phoneticPr fontId="1" type="noConversion"/>
  </si>
  <si>
    <t>住宿1</t>
    <phoneticPr fontId="1" type="noConversion"/>
  </si>
  <si>
    <t>住宿2</t>
    <phoneticPr fontId="1" type="noConversion"/>
  </si>
  <si>
    <t>西溪壹号</t>
    <phoneticPr fontId="1" type="noConversion"/>
  </si>
  <si>
    <t>希尔顿酒店</t>
    <phoneticPr fontId="1" type="noConversion"/>
  </si>
  <si>
    <t>如家快捷酒店</t>
    <phoneticPr fontId="1" type="noConversion"/>
  </si>
  <si>
    <t>结束时间</t>
    <phoneticPr fontId="1" type="noConversion"/>
  </si>
  <si>
    <t>开始时间</t>
    <phoneticPr fontId="1" type="noConversion"/>
  </si>
  <si>
    <t>中华门饭店</t>
    <phoneticPr fontId="1" type="noConversion"/>
  </si>
  <si>
    <t>莫泰</t>
    <phoneticPr fontId="1" type="noConversion"/>
  </si>
  <si>
    <t>锦江之星</t>
    <phoneticPr fontId="1" type="noConversion"/>
  </si>
  <si>
    <t>吉野家</t>
    <phoneticPr fontId="1" type="noConversion"/>
  </si>
  <si>
    <t>沃歌斯</t>
    <phoneticPr fontId="1" type="noConversion"/>
  </si>
  <si>
    <t>鸿瑞兴</t>
    <phoneticPr fontId="1" type="noConversion"/>
  </si>
  <si>
    <t>俏江南</t>
    <phoneticPr fontId="1" type="noConversion"/>
  </si>
  <si>
    <t>美满吉</t>
    <phoneticPr fontId="1" type="noConversion"/>
  </si>
  <si>
    <t>秦淮人家</t>
    <phoneticPr fontId="1" type="noConversion"/>
  </si>
  <si>
    <t>奇芳阁</t>
    <phoneticPr fontId="1" type="noConversion"/>
  </si>
  <si>
    <t>淮扬府</t>
    <phoneticPr fontId="1" type="noConversion"/>
  </si>
  <si>
    <t>伊家鲜</t>
  </si>
  <si>
    <t>干锅居</t>
    <phoneticPr fontId="1" type="noConversion"/>
  </si>
  <si>
    <t>川味观</t>
    <phoneticPr fontId="1" type="noConversion"/>
  </si>
  <si>
    <t>胡庆余堂药膳</t>
    <phoneticPr fontId="1" type="noConversion"/>
  </si>
  <si>
    <t>传家酒店</t>
    <phoneticPr fontId="1" type="noConversion"/>
  </si>
  <si>
    <t>万好万家</t>
    <phoneticPr fontId="1" type="noConversion"/>
  </si>
  <si>
    <t>白宫大酒店</t>
    <phoneticPr fontId="1" type="noConversion"/>
  </si>
  <si>
    <t>米兰假日酒店</t>
    <phoneticPr fontId="1" type="noConversion"/>
  </si>
  <si>
    <t>杭州红楼大酒店</t>
    <phoneticPr fontId="1" type="noConversion"/>
  </si>
  <si>
    <t>布丁酒店</t>
    <phoneticPr fontId="1" type="noConversion"/>
  </si>
  <si>
    <t>怡莱连锁酒店</t>
    <phoneticPr fontId="1" type="noConversion"/>
  </si>
  <si>
    <t>游客1</t>
    <phoneticPr fontId="1" type="noConversion"/>
  </si>
  <si>
    <t>游客2</t>
  </si>
  <si>
    <t>游客3</t>
  </si>
  <si>
    <t>游客4</t>
  </si>
  <si>
    <t>游客5</t>
  </si>
  <si>
    <t>游客6</t>
  </si>
  <si>
    <t>游客7</t>
  </si>
  <si>
    <t>游客8</t>
  </si>
  <si>
    <t>游客9</t>
  </si>
  <si>
    <t>游客10</t>
  </si>
  <si>
    <t>游客11</t>
  </si>
  <si>
    <t>游客12</t>
  </si>
  <si>
    <t>导游A</t>
    <phoneticPr fontId="1" type="noConversion"/>
  </si>
  <si>
    <t>司机A</t>
    <phoneticPr fontId="1" type="noConversion"/>
  </si>
  <si>
    <t>天数</t>
    <phoneticPr fontId="1" type="noConversion"/>
  </si>
  <si>
    <t>外宾</t>
    <phoneticPr fontId="1" type="noConversion"/>
  </si>
  <si>
    <t>D1</t>
    <phoneticPr fontId="1" type="noConversion"/>
  </si>
  <si>
    <t>D2</t>
    <phoneticPr fontId="1" type="noConversion"/>
  </si>
  <si>
    <t>西栅景区</t>
  </si>
  <si>
    <t>如家快捷酒店</t>
  </si>
  <si>
    <t xml:space="preserve">萧山机场 </t>
    <phoneticPr fontId="1" type="noConversion"/>
  </si>
  <si>
    <t>绍兴</t>
    <phoneticPr fontId="1" type="noConversion"/>
  </si>
  <si>
    <t>梅家坞农家</t>
    <phoneticPr fontId="1" type="noConversion"/>
  </si>
  <si>
    <t>D3</t>
    <phoneticPr fontId="1" type="noConversion"/>
  </si>
  <si>
    <t>D4</t>
    <phoneticPr fontId="1" type="noConversion"/>
  </si>
  <si>
    <t>景点6</t>
    <phoneticPr fontId="1" type="noConversion"/>
  </si>
  <si>
    <t>景点7</t>
    <phoneticPr fontId="1" type="noConversion"/>
  </si>
  <si>
    <t>景点8</t>
    <phoneticPr fontId="1" type="noConversion"/>
  </si>
  <si>
    <t>景点9</t>
    <phoneticPr fontId="1" type="noConversion"/>
  </si>
  <si>
    <t>景点10</t>
    <phoneticPr fontId="1" type="noConversion"/>
  </si>
  <si>
    <t>鲁迅故里</t>
    <phoneticPr fontId="1" type="noConversion"/>
  </si>
  <si>
    <t>沈园</t>
    <phoneticPr fontId="1" type="noConversion"/>
  </si>
  <si>
    <t>船游西湖</t>
    <phoneticPr fontId="1" type="noConversion"/>
  </si>
  <si>
    <t>花港观鱼</t>
    <phoneticPr fontId="1" type="noConversion"/>
  </si>
  <si>
    <t>苏提春晓</t>
    <phoneticPr fontId="1" type="noConversion"/>
  </si>
  <si>
    <t>龙井问茶</t>
    <phoneticPr fontId="1" type="noConversion"/>
  </si>
  <si>
    <t>六合塔</t>
    <phoneticPr fontId="1" type="noConversion"/>
  </si>
  <si>
    <t>飞来峰</t>
    <phoneticPr fontId="1" type="noConversion"/>
  </si>
  <si>
    <t>嘉兴</t>
  </si>
  <si>
    <t>乌镇客栈</t>
  </si>
  <si>
    <t>乌镇客栈</t>
    <phoneticPr fontId="1" type="noConversion"/>
  </si>
  <si>
    <t>乌镇农家乐</t>
    <phoneticPr fontId="1" type="noConversion"/>
  </si>
  <si>
    <t>如家快捷酒店</t>
    <phoneticPr fontId="1" type="noConversion"/>
  </si>
  <si>
    <t>团队编号</t>
    <phoneticPr fontId="1" type="noConversion"/>
  </si>
  <si>
    <t>330381198812164236</t>
    <phoneticPr fontId="1" type="noConversion"/>
  </si>
  <si>
    <t>城市</t>
    <phoneticPr fontId="2" type="noConversion"/>
  </si>
  <si>
    <t>杭州</t>
    <phoneticPr fontId="1" type="noConversion"/>
  </si>
  <si>
    <t>宁波</t>
    <phoneticPr fontId="1" type="noConversion"/>
  </si>
  <si>
    <t>绍兴</t>
    <phoneticPr fontId="1" type="noConversion"/>
  </si>
  <si>
    <t>嘉兴</t>
    <phoneticPr fontId="1" type="noConversion"/>
  </si>
  <si>
    <t>湖州</t>
    <phoneticPr fontId="1" type="noConversion"/>
  </si>
  <si>
    <t>金华</t>
    <phoneticPr fontId="1" type="noConversion"/>
  </si>
  <si>
    <t>衢州</t>
    <phoneticPr fontId="1" type="noConversion"/>
  </si>
  <si>
    <t>丽水</t>
    <phoneticPr fontId="1" type="noConversion"/>
  </si>
  <si>
    <t>台州</t>
    <phoneticPr fontId="1" type="noConversion"/>
  </si>
  <si>
    <t>温州</t>
    <phoneticPr fontId="1" type="noConversion"/>
  </si>
  <si>
    <t>hz</t>
    <phoneticPr fontId="1" type="noConversion"/>
  </si>
  <si>
    <t>nb</t>
    <phoneticPr fontId="1" type="noConversion"/>
  </si>
  <si>
    <t>sx</t>
    <phoneticPr fontId="1" type="noConversion"/>
  </si>
  <si>
    <t>jx</t>
    <phoneticPr fontId="1" type="noConversion"/>
  </si>
  <si>
    <t>jh</t>
    <phoneticPr fontId="1" type="noConversion"/>
  </si>
  <si>
    <t>qz</t>
    <phoneticPr fontId="1" type="noConversion"/>
  </si>
  <si>
    <t>ls</t>
    <phoneticPr fontId="1" type="noConversion"/>
  </si>
  <si>
    <t>tz</t>
    <phoneticPr fontId="1" type="noConversion"/>
  </si>
  <si>
    <t>wz</t>
    <phoneticPr fontId="1" type="noConversion"/>
  </si>
  <si>
    <t>如家快捷酒店</t>
    <phoneticPr fontId="1" type="noConversion"/>
  </si>
  <si>
    <t>如家快捷连锁酒店</t>
    <phoneticPr fontId="1" type="noConversion"/>
  </si>
  <si>
    <t>rjkjlsjd</t>
    <phoneticPr fontId="1" type="noConversion"/>
  </si>
  <si>
    <t>ggj</t>
    <phoneticPr fontId="1" type="noConversion"/>
  </si>
  <si>
    <t>cwg</t>
    <phoneticPr fontId="1" type="noConversion"/>
  </si>
  <si>
    <t>hqyty</t>
    <phoneticPr fontId="1" type="noConversion"/>
  </si>
  <si>
    <t>rjkjjd</t>
    <phoneticPr fontId="1" type="noConversion"/>
  </si>
  <si>
    <t>mjwnj</t>
    <phoneticPr fontId="1" type="noConversion"/>
  </si>
  <si>
    <t>wpj</t>
    <phoneticPr fontId="1" type="noConversion"/>
  </si>
  <si>
    <t>qjn</t>
    <phoneticPr fontId="1" type="noConversion"/>
  </si>
  <si>
    <t>jyj</t>
    <phoneticPr fontId="1" type="noConversion"/>
  </si>
  <si>
    <t>wgs</t>
    <phoneticPr fontId="1" type="noConversion"/>
  </si>
  <si>
    <t>hrx</t>
    <phoneticPr fontId="1" type="noConversion"/>
  </si>
  <si>
    <t>jjzx</t>
    <phoneticPr fontId="1" type="noConversion"/>
  </si>
  <si>
    <t>mmj</t>
    <phoneticPr fontId="1" type="noConversion"/>
  </si>
  <si>
    <t>qhrj</t>
    <phoneticPr fontId="1" type="noConversion"/>
  </si>
  <si>
    <t>qfg</t>
    <phoneticPr fontId="1" type="noConversion"/>
  </si>
  <si>
    <t>hyf</t>
    <phoneticPr fontId="1" type="noConversion"/>
  </si>
  <si>
    <t>wznjl</t>
    <phoneticPr fontId="1" type="noConversion"/>
  </si>
  <si>
    <t>wzkz</t>
    <phoneticPr fontId="1" type="noConversion"/>
  </si>
  <si>
    <t>xxyh</t>
    <phoneticPr fontId="1" type="noConversion"/>
  </si>
  <si>
    <t>xedjd</t>
    <phoneticPr fontId="1" type="noConversion"/>
  </si>
  <si>
    <t>mljrjd</t>
    <phoneticPr fontId="1" type="noConversion"/>
  </si>
  <si>
    <t>hzhldjd</t>
    <phoneticPr fontId="1" type="noConversion"/>
  </si>
  <si>
    <t>bdjd</t>
    <phoneticPr fontId="1" type="noConversion"/>
  </si>
  <si>
    <t>伊家鲜</t>
    <phoneticPr fontId="1" type="noConversion"/>
  </si>
  <si>
    <t>yjx</t>
    <phoneticPr fontId="1" type="noConversion"/>
  </si>
  <si>
    <t>yllsjd</t>
    <phoneticPr fontId="1" type="noConversion"/>
  </si>
  <si>
    <t>zhmfd</t>
    <phoneticPr fontId="1" type="noConversion"/>
  </si>
  <si>
    <t>mt</t>
    <phoneticPr fontId="1" type="noConversion"/>
  </si>
  <si>
    <t>cj</t>
    <phoneticPr fontId="1" type="noConversion"/>
  </si>
  <si>
    <t>whwj</t>
    <phoneticPr fontId="1" type="noConversion"/>
  </si>
  <si>
    <t>bgdjd</t>
    <phoneticPr fontId="1" type="noConversion"/>
  </si>
  <si>
    <t>伊家鲜</t>
    <phoneticPr fontId="1" type="noConversion"/>
  </si>
  <si>
    <t>校验结果</t>
    <phoneticPr fontId="1" type="noConversion"/>
  </si>
  <si>
    <t>522324197508045617</t>
    <phoneticPr fontId="1" type="noConversion"/>
  </si>
  <si>
    <t>杭州乌镇绍兴四日游2</t>
    <phoneticPr fontId="1" type="noConversion"/>
  </si>
  <si>
    <t>龙门古镇</t>
  </si>
  <si>
    <t>苏州江南农耕文化园</t>
  </si>
  <si>
    <t>启园</t>
  </si>
  <si>
    <t>太湖渔洋山</t>
  </si>
  <si>
    <t>明清宫苑</t>
  </si>
  <si>
    <t>超山风景区</t>
  </si>
  <si>
    <t>泰伯景区</t>
  </si>
  <si>
    <t>寿仙谷</t>
  </si>
  <si>
    <t>新昌大佛寺</t>
  </si>
  <si>
    <t>甪直古镇</t>
  </si>
  <si>
    <t>神丽峡</t>
  </si>
  <si>
    <t>溪口景区</t>
  </si>
  <si>
    <t>柏坑漂流</t>
  </si>
  <si>
    <t>宁波滕头生态旅游区</t>
  </si>
  <si>
    <t>苏迪糖果乐园</t>
  </si>
  <si>
    <t>临安瑞晶石花洞</t>
  </si>
  <si>
    <t>千佛山景区</t>
  </si>
  <si>
    <t>野鹤湫</t>
  </si>
  <si>
    <t>同里</t>
  </si>
  <si>
    <t>星期九生态农庄</t>
  </si>
  <si>
    <t>九龙谷漂流</t>
  </si>
  <si>
    <t>中南百草原</t>
  </si>
  <si>
    <t>鉴湖</t>
  </si>
  <si>
    <t>中国淡水鱼博物馆</t>
  </si>
  <si>
    <t>东方地质博物馆</t>
  </si>
  <si>
    <t>安吉春山收藏馆</t>
  </si>
  <si>
    <t>葫芦峡漂流</t>
  </si>
  <si>
    <t>武义唐风温泉度假村</t>
  </si>
  <si>
    <t>巴厘原墅沃阁温泉</t>
  </si>
  <si>
    <t>三都胜境</t>
  </si>
  <si>
    <t>天目山（大树王国）</t>
  </si>
  <si>
    <t>奉化白龙潭水上乐园</t>
  </si>
  <si>
    <t>溧水天生桥</t>
  </si>
  <si>
    <t>桃花源漂流</t>
  </si>
  <si>
    <t>云和湖仙宫景区</t>
  </si>
  <si>
    <t>古猿人洞</t>
  </si>
  <si>
    <t>天目湖御水温泉</t>
  </si>
  <si>
    <t>连岛</t>
  </si>
  <si>
    <t>水竹湾森林公园</t>
  </si>
  <si>
    <t>诸葛长乐福地</t>
  </si>
  <si>
    <t>刘秀垄</t>
  </si>
  <si>
    <t>雪岙漂流</t>
  </si>
  <si>
    <t>大伊山</t>
  </si>
  <si>
    <t>莲花岛景区</t>
  </si>
  <si>
    <t>九龙山旅游度假区拓展基地</t>
  </si>
  <si>
    <t>溧阳天目湖铭汤温泉度假村</t>
  </si>
  <si>
    <t>千岛湖白云溪漂流</t>
  </si>
  <si>
    <t>阳山温泉度假山庄</t>
  </si>
  <si>
    <t>无锡动物园&amp;#183;太湖欢乐园</t>
  </si>
  <si>
    <t>周庄-双桥</t>
  </si>
  <si>
    <t>南嵩岩</t>
  </si>
  <si>
    <t>杭州香韵佳香草文化园（杭州薰衣草庄园）</t>
  </si>
  <si>
    <t>世界神秘部落村</t>
  </si>
  <si>
    <t>仙山谷激浪漂流</t>
  </si>
  <si>
    <t>格林乡村公园</t>
  </si>
  <si>
    <t>苏州摩天轮</t>
  </si>
  <si>
    <t>太仓南园</t>
  </si>
  <si>
    <t>梅花洲景区</t>
  </si>
  <si>
    <t>项王公园游船码头</t>
  </si>
  <si>
    <t>紫清湖室内温泉</t>
  </si>
  <si>
    <t>白马涧</t>
  </si>
  <si>
    <t>梦幻谷</t>
  </si>
  <si>
    <t>震泽古镇</t>
  </si>
  <si>
    <t>富文林海归真</t>
  </si>
  <si>
    <t>天宫庄园休闲旅游区</t>
  </si>
  <si>
    <t>千岛湖龙门漂流</t>
  </si>
  <si>
    <t>柳溪江</t>
  </si>
  <si>
    <t>布袋山风景区</t>
  </si>
  <si>
    <t>宁波九龙湖</t>
  </si>
  <si>
    <t>连云港桃花涧</t>
  </si>
  <si>
    <t>时尚舞台（儿童乐园）</t>
  </si>
  <si>
    <t>南京弘阳欢乐世界</t>
  </si>
  <si>
    <t>宁波民国大杂院</t>
  </si>
  <si>
    <t>lmgz</t>
    <phoneticPr fontId="1" type="noConversion"/>
  </si>
  <si>
    <t>szjnngwh</t>
    <phoneticPr fontId="1" type="noConversion"/>
  </si>
  <si>
    <t>qy</t>
    <phoneticPr fontId="1" type="noConversion"/>
  </si>
  <si>
    <t>thyys</t>
    <phoneticPr fontId="1" type="noConversion"/>
  </si>
  <si>
    <t>mqgy</t>
    <phoneticPr fontId="1" type="noConversion"/>
  </si>
  <si>
    <t>csfjq</t>
    <phoneticPr fontId="1" type="noConversion"/>
  </si>
  <si>
    <t>tbjq</t>
    <phoneticPr fontId="1" type="noConversion"/>
  </si>
  <si>
    <t>sxs</t>
    <phoneticPr fontId="1" type="noConversion"/>
  </si>
  <si>
    <t>xcdfs</t>
    <phoneticPr fontId="1" type="noConversion"/>
  </si>
  <si>
    <t>slx</t>
    <phoneticPr fontId="1" type="noConversion"/>
  </si>
  <si>
    <t>xkjq</t>
    <phoneticPr fontId="1" type="noConversion"/>
  </si>
  <si>
    <t>bkpl</t>
    <phoneticPr fontId="1" type="noConversion"/>
  </si>
  <si>
    <t>nbttstly</t>
    <phoneticPr fontId="1" type="noConversion"/>
  </si>
  <si>
    <t>sdtgly</t>
    <phoneticPr fontId="1" type="noConversion"/>
  </si>
  <si>
    <t>larjshd</t>
    <phoneticPr fontId="1" type="noConversion"/>
  </si>
  <si>
    <t>qfsjq</t>
    <phoneticPr fontId="1" type="noConversion"/>
  </si>
  <si>
    <t>yhq</t>
    <phoneticPr fontId="1" type="noConversion"/>
  </si>
  <si>
    <t>tl</t>
    <phoneticPr fontId="1" type="noConversion"/>
  </si>
  <si>
    <t>xqjstnz</t>
    <phoneticPr fontId="1" type="noConversion"/>
  </si>
  <si>
    <t>jlgpl</t>
    <phoneticPr fontId="1" type="noConversion"/>
  </si>
  <si>
    <t>znbcy</t>
    <phoneticPr fontId="1" type="noConversion"/>
  </si>
  <si>
    <t>jh</t>
    <phoneticPr fontId="1" type="noConversion"/>
  </si>
  <si>
    <t>zgdsybwg</t>
    <phoneticPr fontId="1" type="noConversion"/>
  </si>
  <si>
    <t>餐饮</t>
    <phoneticPr fontId="1" type="noConversion"/>
  </si>
  <si>
    <t>住宿</t>
    <phoneticPr fontId="1" type="noConversion"/>
  </si>
  <si>
    <t>景点</t>
    <phoneticPr fontId="1" type="noConversion"/>
  </si>
  <si>
    <t>景点简写</t>
    <phoneticPr fontId="1" type="noConversion"/>
  </si>
  <si>
    <t>住宿简写</t>
    <phoneticPr fontId="1" type="noConversion"/>
  </si>
  <si>
    <t>餐饮简写</t>
    <phoneticPr fontId="1" type="noConversion"/>
  </si>
  <si>
    <t>城市简写</t>
    <phoneticPr fontId="2" type="noConversion"/>
  </si>
  <si>
    <t>购物点</t>
    <phoneticPr fontId="1" type="noConversion"/>
  </si>
  <si>
    <t>购物点简称</t>
    <phoneticPr fontId="1" type="noConversion"/>
  </si>
  <si>
    <t>干锅居</t>
  </si>
  <si>
    <t>外婆家</t>
  </si>
  <si>
    <t>如家快捷酒店</t>
    <phoneticPr fontId="1" type="noConversion"/>
  </si>
  <si>
    <t>LV002</t>
    <phoneticPr fontId="1" type="noConversion"/>
  </si>
  <si>
    <t>DY0020034</t>
    <phoneticPr fontId="1" type="noConversion"/>
  </si>
  <si>
    <t>港澳台</t>
    <phoneticPr fontId="1" type="noConversion"/>
  </si>
  <si>
    <t>411481198401154412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</si>
</sst>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49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hidden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866715"/>
  <ax:ocxPr ax:name="Size" ax:value="3307;873"/>
  <ax:ocxPr ax:name="FontName" ax:value="宋体"/>
  <ax:ocxPr ax:name="FontHeight" ax:value="225"/>
  <ax:ocxPr ax:name="FontCharSet" ax:value="134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PropertyBag">
  <ax:ocxPr ax:name="ScrollBars" ax:value="3"/>
  <ax:ocxPr ax:name="DisplayStyle" ax:value="2"/>
  <ax:ocxPr ax:name="Size" ax:value="3307;4366"/>
  <ax:ocxPr ax:name="MatchEntry" ax:value="0"/>
  <ax:ocxPr ax:name="FontName" ax:value="宋体"/>
  <ax:ocxPr ax:name="FontHeight" ax:value="225"/>
  <ax:ocxPr ax:name="FontCharSet" ax:value="134"/>
  <ax:ocxPr ax:name="FontPitchAndFamily" ax:value="34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PERSONAL"/>
    </sheetNames>
    <definedNames>
      <definedName name="模块1.IDcheck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"/>
  <sheetViews>
    <sheetView workbookViewId="0">
      <selection activeCell="I3" sqref="I3"/>
    </sheetView>
  </sheetViews>
  <sheetFormatPr defaultRowHeight="13.5"/>
  <cols>
    <col min="2" max="2" width="19.75" customWidth="1"/>
    <col min="3" max="3" width="11.75" style="2" customWidth="1"/>
    <col min="4" max="4" width="14.375" style="2" customWidth="1"/>
    <col min="5" max="5" width="14" customWidth="1"/>
    <col min="6" max="7" width="7.25" customWidth="1"/>
    <col min="8" max="9" width="5.625" customWidth="1"/>
    <col min="10" max="10" width="12.75" customWidth="1"/>
    <col min="11" max="11" width="17.625" customWidth="1"/>
    <col min="12" max="12" width="13.25" customWidth="1"/>
  </cols>
  <sheetData>
    <row r="1" spans="1:12">
      <c r="A1" t="s">
        <v>103</v>
      </c>
      <c r="B1" t="s">
        <v>5</v>
      </c>
      <c r="C1" s="2" t="s">
        <v>37</v>
      </c>
      <c r="D1" s="2" t="s">
        <v>36</v>
      </c>
      <c r="E1" t="s">
        <v>74</v>
      </c>
      <c r="F1" t="s">
        <v>6</v>
      </c>
      <c r="G1" t="s">
        <v>14</v>
      </c>
      <c r="H1" t="s">
        <v>15</v>
      </c>
      <c r="I1" t="s">
        <v>272</v>
      </c>
      <c r="J1" t="s">
        <v>75</v>
      </c>
      <c r="K1" t="s">
        <v>12</v>
      </c>
      <c r="L1" t="s">
        <v>13</v>
      </c>
    </row>
    <row r="2" spans="1:12">
      <c r="A2" t="s">
        <v>270</v>
      </c>
      <c r="B2" t="s">
        <v>161</v>
      </c>
      <c r="C2" s="2">
        <v>41205</v>
      </c>
      <c r="D2" s="2">
        <v>41208</v>
      </c>
      <c r="E2">
        <f>D2-C2+1</f>
        <v>4</v>
      </c>
      <c r="F2">
        <v>12</v>
      </c>
      <c r="G2">
        <v>12</v>
      </c>
      <c r="H2">
        <v>0</v>
      </c>
      <c r="I2">
        <v>0</v>
      </c>
      <c r="J2">
        <v>0</v>
      </c>
      <c r="K2" t="s">
        <v>80</v>
      </c>
      <c r="L2" t="s">
        <v>22</v>
      </c>
    </row>
  </sheetData>
  <dataConsolidate function="count"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14"/>
  <sheetViews>
    <sheetView topLeftCell="A4" workbookViewId="0">
      <selection activeCell="C2" sqref="C2"/>
    </sheetView>
  </sheetViews>
  <sheetFormatPr defaultRowHeight="13.5"/>
  <cols>
    <col min="3" max="3" width="25.125" style="1" customWidth="1"/>
    <col min="4" max="4" width="16" customWidth="1"/>
    <col min="5" max="5" width="11.875" customWidth="1"/>
    <col min="6" max="6" width="11.375" style="5" hidden="1" customWidth="1"/>
    <col min="7" max="7" width="11.375" customWidth="1"/>
  </cols>
  <sheetData>
    <row r="1" spans="1:6">
      <c r="A1" t="s">
        <v>16</v>
      </c>
      <c r="B1" t="s">
        <v>17</v>
      </c>
      <c r="C1" s="1" t="s">
        <v>0</v>
      </c>
      <c r="D1" t="s">
        <v>1</v>
      </c>
      <c r="E1" t="s">
        <v>18</v>
      </c>
      <c r="F1" s="5" t="s">
        <v>159</v>
      </c>
    </row>
    <row r="2" spans="1:6">
      <c r="A2" t="s">
        <v>2</v>
      </c>
      <c r="B2" t="s">
        <v>72</v>
      </c>
      <c r="C2" s="1" t="s">
        <v>273</v>
      </c>
      <c r="D2">
        <v>18954657465</v>
      </c>
      <c r="E2" t="s">
        <v>271</v>
      </c>
      <c r="F2" s="5" t="str">
        <f>[1]!模块1.IDcheck(C2)</f>
        <v>非法号码</v>
      </c>
    </row>
    <row r="3" spans="1:6">
      <c r="A3" t="s">
        <v>3</v>
      </c>
      <c r="B3" t="s">
        <v>73</v>
      </c>
      <c r="C3" s="1" t="s">
        <v>160</v>
      </c>
      <c r="D3">
        <v>18954657222</v>
      </c>
      <c r="E3" t="s">
        <v>19</v>
      </c>
      <c r="F3" s="5" t="str">
        <f>[1]!模块1.IDcheck(C3)</f>
        <v>通过</v>
      </c>
    </row>
    <row r="4" spans="1:6">
      <c r="A4" t="s">
        <v>4</v>
      </c>
      <c r="B4" t="s">
        <v>60</v>
      </c>
      <c r="C4" s="1" t="s">
        <v>104</v>
      </c>
      <c r="D4">
        <v>18954657333</v>
      </c>
      <c r="F4" s="5" t="str">
        <f>[1]!模块1.IDcheck(C4)</f>
        <v>通过</v>
      </c>
    </row>
    <row r="5" spans="1:6">
      <c r="A5" t="s">
        <v>4</v>
      </c>
      <c r="B5" t="s">
        <v>61</v>
      </c>
      <c r="C5" s="1" t="s">
        <v>104</v>
      </c>
      <c r="D5">
        <v>18954657333</v>
      </c>
      <c r="F5" s="5" t="str">
        <f>[1]!模块1.IDcheck(C5)</f>
        <v>通过</v>
      </c>
    </row>
    <row r="6" spans="1:6">
      <c r="A6" t="s">
        <v>4</v>
      </c>
      <c r="B6" t="s">
        <v>62</v>
      </c>
      <c r="C6" s="1" t="s">
        <v>104</v>
      </c>
      <c r="D6">
        <v>18954657333</v>
      </c>
      <c r="F6" s="5" t="str">
        <f>[1]!模块1.IDcheck(C6)</f>
        <v>通过</v>
      </c>
    </row>
    <row r="7" spans="1:6">
      <c r="A7" t="s">
        <v>4</v>
      </c>
      <c r="B7" t="s">
        <v>63</v>
      </c>
      <c r="C7" s="1" t="s">
        <v>104</v>
      </c>
      <c r="D7">
        <v>18954657333</v>
      </c>
      <c r="F7" s="5" t="str">
        <f>[1]!模块1.IDcheck(C7)</f>
        <v>通过</v>
      </c>
    </row>
    <row r="8" spans="1:6">
      <c r="A8" t="s">
        <v>4</v>
      </c>
      <c r="B8" t="s">
        <v>64</v>
      </c>
      <c r="C8" s="1" t="s">
        <v>104</v>
      </c>
      <c r="D8">
        <v>18954657333</v>
      </c>
      <c r="F8" s="5" t="str">
        <f>[1]!模块1.IDcheck(C8)</f>
        <v>通过</v>
      </c>
    </row>
    <row r="9" spans="1:6">
      <c r="A9" t="s">
        <v>4</v>
      </c>
      <c r="B9" t="s">
        <v>65</v>
      </c>
      <c r="C9" s="1" t="s">
        <v>104</v>
      </c>
      <c r="D9">
        <v>18954657333</v>
      </c>
      <c r="F9" s="5" t="str">
        <f>[1]!模块1.IDcheck(C9)</f>
        <v>通过</v>
      </c>
    </row>
    <row r="10" spans="1:6">
      <c r="A10" t="s">
        <v>4</v>
      </c>
      <c r="B10" t="s">
        <v>66</v>
      </c>
      <c r="C10" s="1" t="s">
        <v>104</v>
      </c>
      <c r="D10">
        <v>18954657333</v>
      </c>
      <c r="F10" s="5" t="str">
        <f>[1]!模块1.IDcheck(C10)</f>
        <v>通过</v>
      </c>
    </row>
    <row r="11" spans="1:6">
      <c r="A11" t="s">
        <v>4</v>
      </c>
      <c r="B11" t="s">
        <v>67</v>
      </c>
      <c r="C11" s="1" t="s">
        <v>104</v>
      </c>
      <c r="D11">
        <v>18954657333</v>
      </c>
      <c r="F11" s="5" t="str">
        <f>[1]!模块1.IDcheck(C11)</f>
        <v>通过</v>
      </c>
    </row>
    <row r="12" spans="1:6">
      <c r="A12" t="s">
        <v>4</v>
      </c>
      <c r="B12" t="s">
        <v>68</v>
      </c>
      <c r="C12" s="1" t="s">
        <v>104</v>
      </c>
      <c r="D12">
        <v>18954657333</v>
      </c>
      <c r="F12" s="5" t="str">
        <f>[1]!模块1.IDcheck(C12)</f>
        <v>通过</v>
      </c>
    </row>
    <row r="13" spans="1:6">
      <c r="A13" t="s">
        <v>4</v>
      </c>
      <c r="B13" t="s">
        <v>69</v>
      </c>
      <c r="C13" s="1" t="s">
        <v>104</v>
      </c>
      <c r="D13">
        <v>18954657333</v>
      </c>
      <c r="F13" s="5" t="str">
        <f>[1]!模块1.IDcheck(C13)</f>
        <v>通过</v>
      </c>
    </row>
    <row r="14" spans="1:6">
      <c r="A14" t="s">
        <v>4</v>
      </c>
      <c r="B14" t="s">
        <v>70</v>
      </c>
      <c r="C14" s="1" t="s">
        <v>104</v>
      </c>
      <c r="D14">
        <v>18954657333</v>
      </c>
      <c r="F14" s="5" t="str">
        <f>[1]!模块1.IDcheck(C14)</f>
        <v>通过</v>
      </c>
    </row>
    <row r="15" spans="1:6">
      <c r="A15" t="s">
        <v>4</v>
      </c>
      <c r="B15" t="s">
        <v>71</v>
      </c>
      <c r="C15" s="1" t="s">
        <v>104</v>
      </c>
      <c r="D15">
        <v>18954657333</v>
      </c>
      <c r="F15" s="5" t="str">
        <f>[1]!模块1.IDcheck(C15)</f>
        <v>通过</v>
      </c>
    </row>
    <row r="16" spans="1:6">
      <c r="F16" s="5" t="str">
        <f>[1]!模块1.IDcheck(C16)</f>
        <v/>
      </c>
    </row>
    <row r="17" spans="6:6">
      <c r="F17" s="5" t="str">
        <f>[1]!模块1.IDcheck(C17)</f>
        <v/>
      </c>
    </row>
    <row r="18" spans="6:6">
      <c r="F18" s="5" t="str">
        <f>[1]!模块1.IDcheck(C18)</f>
        <v/>
      </c>
    </row>
    <row r="19" spans="6:6">
      <c r="F19" s="5" t="str">
        <f>[1]!模块1.IDcheck(C19)</f>
        <v/>
      </c>
    </row>
    <row r="20" spans="6:6">
      <c r="F20" s="5" t="str">
        <f>[1]!模块1.IDcheck(C20)</f>
        <v/>
      </c>
    </row>
    <row r="21" spans="6:6">
      <c r="F21" s="5" t="str">
        <f>[1]!模块1.IDcheck(C21)</f>
        <v/>
      </c>
    </row>
    <row r="22" spans="6:6">
      <c r="F22" s="5" t="str">
        <f>[1]!模块1.IDcheck(C22)</f>
        <v/>
      </c>
    </row>
    <row r="23" spans="6:6">
      <c r="F23" s="5" t="str">
        <f>[1]!模块1.IDcheck(C23)</f>
        <v/>
      </c>
    </row>
    <row r="24" spans="6:6">
      <c r="F24" s="5" t="str">
        <f>[1]!模块1.IDcheck(C24)</f>
        <v/>
      </c>
    </row>
    <row r="25" spans="6:6">
      <c r="F25" s="5" t="str">
        <f>[1]!模块1.IDcheck(C25)</f>
        <v/>
      </c>
    </row>
    <row r="26" spans="6:6">
      <c r="F26" s="5" t="str">
        <f>[1]!模块1.IDcheck(C26)</f>
        <v/>
      </c>
    </row>
    <row r="27" spans="6:6">
      <c r="F27" s="5" t="str">
        <f>[1]!模块1.IDcheck(C27)</f>
        <v/>
      </c>
    </row>
    <row r="28" spans="6:6">
      <c r="F28" s="5" t="str">
        <f>[1]!模块1.IDcheck(C28)</f>
        <v/>
      </c>
    </row>
    <row r="29" spans="6:6">
      <c r="F29" s="5" t="str">
        <f>[1]!模块1.IDcheck(C29)</f>
        <v/>
      </c>
    </row>
    <row r="30" spans="6:6">
      <c r="F30" s="5" t="str">
        <f>[1]!模块1.IDcheck(C30)</f>
        <v/>
      </c>
    </row>
    <row r="31" spans="6:6">
      <c r="F31" s="5" t="str">
        <f>[1]!模块1.IDcheck(C31)</f>
        <v/>
      </c>
    </row>
    <row r="32" spans="6:6">
      <c r="F32" s="5" t="str">
        <f>[1]!模块1.IDcheck(C32)</f>
        <v/>
      </c>
    </row>
    <row r="33" spans="6:6">
      <c r="F33" s="5" t="str">
        <f>[1]!模块1.IDcheck(C33)</f>
        <v/>
      </c>
    </row>
    <row r="34" spans="6:6">
      <c r="F34" s="5" t="str">
        <f>[1]!模块1.IDcheck(C34)</f>
        <v/>
      </c>
    </row>
    <row r="35" spans="6:6">
      <c r="F35" s="5" t="str">
        <f>[1]!模块1.IDcheck(C35)</f>
        <v/>
      </c>
    </row>
    <row r="36" spans="6:6">
      <c r="F36" s="5" t="str">
        <f>[1]!模块1.IDcheck(C36)</f>
        <v/>
      </c>
    </row>
    <row r="37" spans="6:6">
      <c r="F37" s="5" t="str">
        <f>[1]!模块1.IDcheck(C37)</f>
        <v/>
      </c>
    </row>
    <row r="38" spans="6:6">
      <c r="F38" s="5" t="str">
        <f>[1]!模块1.IDcheck(C38)</f>
        <v/>
      </c>
    </row>
    <row r="39" spans="6:6">
      <c r="F39" s="5" t="str">
        <f>[1]!模块1.IDcheck(C39)</f>
        <v/>
      </c>
    </row>
    <row r="40" spans="6:6">
      <c r="F40" s="5" t="str">
        <f>[1]!模块1.IDcheck(C40)</f>
        <v/>
      </c>
    </row>
    <row r="41" spans="6:6">
      <c r="F41" s="5" t="str">
        <f>[1]!模块1.IDcheck(C41)</f>
        <v/>
      </c>
    </row>
    <row r="42" spans="6:6">
      <c r="F42" s="5" t="str">
        <f>[1]!模块1.IDcheck(C42)</f>
        <v/>
      </c>
    </row>
    <row r="43" spans="6:6">
      <c r="F43" s="5" t="str">
        <f>[1]!模块1.IDcheck(C43)</f>
        <v/>
      </c>
    </row>
    <row r="44" spans="6:6">
      <c r="F44" s="5" t="str">
        <f>[1]!模块1.IDcheck(C44)</f>
        <v/>
      </c>
    </row>
    <row r="45" spans="6:6">
      <c r="F45" s="5" t="str">
        <f>[1]!模块1.IDcheck(C45)</f>
        <v/>
      </c>
    </row>
    <row r="46" spans="6:6">
      <c r="F46" s="5" t="str">
        <f>[1]!模块1.IDcheck(C46)</f>
        <v/>
      </c>
    </row>
    <row r="47" spans="6:6">
      <c r="F47" s="5" t="str">
        <f>[1]!模块1.IDcheck(C47)</f>
        <v/>
      </c>
    </row>
    <row r="48" spans="6:6">
      <c r="F48" s="5" t="str">
        <f>[1]!模块1.IDcheck(C48)</f>
        <v/>
      </c>
    </row>
    <row r="49" spans="6:6">
      <c r="F49" s="5" t="str">
        <f>[1]!模块1.IDcheck(C49)</f>
        <v/>
      </c>
    </row>
    <row r="50" spans="6:6">
      <c r="F50" s="5" t="str">
        <f>[1]!模块1.IDcheck(C50)</f>
        <v/>
      </c>
    </row>
    <row r="51" spans="6:6">
      <c r="F51" s="5" t="str">
        <f>[1]!模块1.IDcheck(C51)</f>
        <v/>
      </c>
    </row>
    <row r="52" spans="6:6">
      <c r="F52" s="5" t="str">
        <f>[1]!模块1.IDcheck(C52)</f>
        <v/>
      </c>
    </row>
    <row r="53" spans="6:6">
      <c r="F53" s="5" t="str">
        <f>[1]!模块1.IDcheck(C53)</f>
        <v/>
      </c>
    </row>
    <row r="54" spans="6:6">
      <c r="F54" s="5" t="str">
        <f>[1]!模块1.IDcheck(C54)</f>
        <v/>
      </c>
    </row>
    <row r="55" spans="6:6">
      <c r="F55" s="5" t="str">
        <f>[1]!模块1.IDcheck(C55)</f>
        <v/>
      </c>
    </row>
    <row r="56" spans="6:6">
      <c r="F56" s="5" t="str">
        <f>[1]!模块1.IDcheck(C56)</f>
        <v/>
      </c>
    </row>
    <row r="57" spans="6:6">
      <c r="F57" s="5" t="str">
        <f>[1]!模块1.IDcheck(C57)</f>
        <v/>
      </c>
    </row>
    <row r="58" spans="6:6">
      <c r="F58" s="5" t="str">
        <f>[1]!模块1.IDcheck(C58)</f>
        <v/>
      </c>
    </row>
    <row r="59" spans="6:6">
      <c r="F59" s="5" t="str">
        <f>[1]!模块1.IDcheck(C59)</f>
        <v/>
      </c>
    </row>
    <row r="60" spans="6:6">
      <c r="F60" s="5" t="str">
        <f>[1]!模块1.IDcheck(C60)</f>
        <v/>
      </c>
    </row>
    <row r="61" spans="6:6">
      <c r="F61" s="5" t="str">
        <f>[1]!模块1.IDcheck(C61)</f>
        <v/>
      </c>
    </row>
    <row r="62" spans="6:6">
      <c r="F62" s="5" t="str">
        <f>[1]!模块1.IDcheck(C62)</f>
        <v/>
      </c>
    </row>
    <row r="63" spans="6:6">
      <c r="F63" s="5" t="str">
        <f>[1]!模块1.IDcheck(C63)</f>
        <v/>
      </c>
    </row>
    <row r="64" spans="6:6">
      <c r="F64" s="5" t="str">
        <f>[1]!模块1.IDcheck(C64)</f>
        <v/>
      </c>
    </row>
    <row r="65" spans="6:6">
      <c r="F65" s="5" t="str">
        <f>[1]!模块1.IDcheck(C65)</f>
        <v/>
      </c>
    </row>
    <row r="66" spans="6:6">
      <c r="F66" s="5" t="str">
        <f>[1]!模块1.IDcheck(C66)</f>
        <v/>
      </c>
    </row>
    <row r="67" spans="6:6">
      <c r="F67" s="5" t="str">
        <f>[1]!模块1.IDcheck(C67)</f>
        <v/>
      </c>
    </row>
    <row r="68" spans="6:6">
      <c r="F68" s="5" t="str">
        <f>[1]!模块1.IDcheck(C68)</f>
        <v/>
      </c>
    </row>
    <row r="69" spans="6:6">
      <c r="F69" s="5" t="str">
        <f>[1]!模块1.IDcheck(C69)</f>
        <v/>
      </c>
    </row>
    <row r="70" spans="6:6">
      <c r="F70" s="5" t="str">
        <f>[1]!模块1.IDcheck(C70)</f>
        <v/>
      </c>
    </row>
    <row r="71" spans="6:6">
      <c r="F71" s="5" t="str">
        <f>[1]!模块1.IDcheck(C71)</f>
        <v/>
      </c>
    </row>
    <row r="72" spans="6:6">
      <c r="F72" s="5" t="str">
        <f>[1]!模块1.IDcheck(C72)</f>
        <v/>
      </c>
    </row>
    <row r="73" spans="6:6">
      <c r="F73" s="5" t="str">
        <f>[1]!模块1.IDcheck(C73)</f>
        <v/>
      </c>
    </row>
    <row r="74" spans="6:6">
      <c r="F74" s="5" t="str">
        <f>[1]!模块1.IDcheck(C74)</f>
        <v/>
      </c>
    </row>
    <row r="75" spans="6:6">
      <c r="F75" s="5" t="str">
        <f>[1]!模块1.IDcheck(C75)</f>
        <v/>
      </c>
    </row>
    <row r="76" spans="6:6">
      <c r="F76" s="5" t="str">
        <f>[1]!模块1.IDcheck(C76)</f>
        <v/>
      </c>
    </row>
    <row r="77" spans="6:6">
      <c r="F77" s="5" t="str">
        <f>[1]!模块1.IDcheck(C77)</f>
        <v/>
      </c>
    </row>
    <row r="78" spans="6:6">
      <c r="F78" s="5" t="str">
        <f>[1]!模块1.IDcheck(C78)</f>
        <v/>
      </c>
    </row>
    <row r="79" spans="6:6">
      <c r="F79" s="5" t="str">
        <f>[1]!模块1.IDcheck(C79)</f>
        <v/>
      </c>
    </row>
    <row r="80" spans="6:6">
      <c r="F80" s="5" t="str">
        <f>[1]!模块1.IDcheck(C80)</f>
        <v/>
      </c>
    </row>
    <row r="81" spans="6:6">
      <c r="F81" s="5" t="str">
        <f>[1]!模块1.IDcheck(C81)</f>
        <v/>
      </c>
    </row>
    <row r="82" spans="6:6">
      <c r="F82" s="5" t="str">
        <f>[1]!模块1.IDcheck(C82)</f>
        <v/>
      </c>
    </row>
    <row r="83" spans="6:6">
      <c r="F83" s="5" t="str">
        <f>[1]!模块1.IDcheck(C83)</f>
        <v/>
      </c>
    </row>
    <row r="84" spans="6:6">
      <c r="F84" s="5" t="str">
        <f>[1]!模块1.IDcheck(C84)</f>
        <v/>
      </c>
    </row>
    <row r="85" spans="6:6">
      <c r="F85" s="5" t="str">
        <f>[1]!模块1.IDcheck(C85)</f>
        <v/>
      </c>
    </row>
    <row r="86" spans="6:6">
      <c r="F86" s="5" t="str">
        <f>[1]!模块1.IDcheck(C86)</f>
        <v/>
      </c>
    </row>
    <row r="87" spans="6:6">
      <c r="F87" s="5" t="str">
        <f>[1]!模块1.IDcheck(C87)</f>
        <v/>
      </c>
    </row>
    <row r="88" spans="6:6">
      <c r="F88" s="5" t="str">
        <f>[1]!模块1.IDcheck(C88)</f>
        <v/>
      </c>
    </row>
    <row r="89" spans="6:6">
      <c r="F89" s="5" t="str">
        <f>[1]!模块1.IDcheck(C89)</f>
        <v/>
      </c>
    </row>
    <row r="90" spans="6:6">
      <c r="F90" s="5" t="str">
        <f>[1]!模块1.IDcheck(C90)</f>
        <v/>
      </c>
    </row>
    <row r="91" spans="6:6">
      <c r="F91" s="5" t="str">
        <f>[1]!模块1.IDcheck(C91)</f>
        <v/>
      </c>
    </row>
    <row r="92" spans="6:6">
      <c r="F92" s="5" t="str">
        <f>[1]!模块1.IDcheck(C92)</f>
        <v/>
      </c>
    </row>
    <row r="93" spans="6:6">
      <c r="F93" s="5" t="str">
        <f>[1]!模块1.IDcheck(C93)</f>
        <v/>
      </c>
    </row>
    <row r="94" spans="6:6">
      <c r="F94" s="5" t="str">
        <f>[1]!模块1.IDcheck(C94)</f>
        <v/>
      </c>
    </row>
    <row r="95" spans="6:6">
      <c r="F95" s="5" t="str">
        <f>[1]!模块1.IDcheck(C95)</f>
        <v/>
      </c>
    </row>
    <row r="96" spans="6:6">
      <c r="F96" s="5" t="str">
        <f>[1]!模块1.IDcheck(C96)</f>
        <v/>
      </c>
    </row>
    <row r="97" spans="6:6">
      <c r="F97" s="5" t="str">
        <f>[1]!模块1.IDcheck(C97)</f>
        <v/>
      </c>
    </row>
    <row r="98" spans="6:6">
      <c r="F98" s="5" t="str">
        <f>[1]!模块1.IDcheck(C98)</f>
        <v/>
      </c>
    </row>
    <row r="99" spans="6:6">
      <c r="F99" s="5" t="str">
        <f>[1]!模块1.IDcheck(C99)</f>
        <v/>
      </c>
    </row>
    <row r="100" spans="6:6">
      <c r="F100" s="5" t="str">
        <f>[1]!模块1.IDcheck(C100)</f>
        <v/>
      </c>
    </row>
    <row r="101" spans="6:6">
      <c r="F101" s="5" t="str">
        <f>[1]!模块1.IDcheck(C101)</f>
        <v/>
      </c>
    </row>
    <row r="102" spans="6:6">
      <c r="F102" s="5" t="str">
        <f>[1]!模块1.IDcheck(C102)</f>
        <v/>
      </c>
    </row>
    <row r="103" spans="6:6">
      <c r="F103" s="5" t="str">
        <f>[1]!模块1.IDcheck(C103)</f>
        <v/>
      </c>
    </row>
    <row r="104" spans="6:6">
      <c r="F104" s="5" t="str">
        <f>[1]!模块1.IDcheck(C104)</f>
        <v/>
      </c>
    </row>
    <row r="105" spans="6:6">
      <c r="F105" s="5" t="str">
        <f>[1]!模块1.IDcheck(C105)</f>
        <v/>
      </c>
    </row>
    <row r="106" spans="6:6">
      <c r="F106" s="5" t="str">
        <f>[1]!模块1.IDcheck(C106)</f>
        <v/>
      </c>
    </row>
    <row r="107" spans="6:6">
      <c r="F107" s="5" t="str">
        <f>[1]!模块1.IDcheck(C107)</f>
        <v/>
      </c>
    </row>
    <row r="108" spans="6:6">
      <c r="F108" s="5" t="str">
        <f>[1]!模块1.IDcheck(C108)</f>
        <v/>
      </c>
    </row>
    <row r="109" spans="6:6">
      <c r="F109" s="5" t="str">
        <f>[1]!模块1.IDcheck(C109)</f>
        <v/>
      </c>
    </row>
    <row r="110" spans="6:6">
      <c r="F110" s="5" t="str">
        <f>[1]!模块1.IDcheck(C110)</f>
        <v/>
      </c>
    </row>
    <row r="111" spans="6:6">
      <c r="F111" s="5" t="str">
        <f>[1]!模块1.IDcheck(C111)</f>
        <v/>
      </c>
    </row>
    <row r="112" spans="6:6">
      <c r="F112" s="5" t="str">
        <f>[1]!模块1.IDcheck(C112)</f>
        <v/>
      </c>
    </row>
    <row r="113" spans="6:6">
      <c r="F113" s="5" t="str">
        <f>[1]!模块1.IDcheck(C113)</f>
        <v/>
      </c>
    </row>
    <row r="114" spans="6:6">
      <c r="F114" s="5" t="str">
        <f>[1]!模块1.IDcheck(C114)</f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8"/>
  <sheetViews>
    <sheetView tabSelected="1" workbookViewId="0">
      <selection activeCell="D7" sqref="D7"/>
    </sheetView>
  </sheetViews>
  <sheetFormatPr defaultColWidth="15.625" defaultRowHeight="24.95" customHeight="1"/>
  <sheetData>
    <row r="1" spans="1:20" ht="24.95" customHeight="1">
      <c r="A1" t="s">
        <v>7</v>
      </c>
      <c r="B1" t="s">
        <v>20</v>
      </c>
      <c r="C1" t="s">
        <v>8</v>
      </c>
      <c r="D1" t="s">
        <v>9</v>
      </c>
      <c r="E1" t="s">
        <v>10</v>
      </c>
      <c r="F1" t="s">
        <v>31</v>
      </c>
      <c r="G1" t="s">
        <v>32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28</v>
      </c>
      <c r="S1" t="s">
        <v>29</v>
      </c>
      <c r="T1" t="s">
        <v>30</v>
      </c>
    </row>
    <row r="2" spans="1:20" ht="24.95" customHeight="1">
      <c r="A2" t="s">
        <v>76</v>
      </c>
      <c r="B2" t="s">
        <v>21</v>
      </c>
    </row>
    <row r="3" spans="1:20" ht="24.95" customHeight="1">
      <c r="A3" t="s">
        <v>76</v>
      </c>
      <c r="B3" t="s">
        <v>98</v>
      </c>
      <c r="C3" t="s">
        <v>268</v>
      </c>
      <c r="F3" t="s">
        <v>100</v>
      </c>
      <c r="H3" t="s">
        <v>78</v>
      </c>
    </row>
    <row r="4" spans="1:20" ht="24.95" customHeight="1">
      <c r="A4" t="s">
        <v>77</v>
      </c>
      <c r="B4" t="s">
        <v>115</v>
      </c>
      <c r="C4" t="s">
        <v>99</v>
      </c>
      <c r="D4" t="s">
        <v>267</v>
      </c>
      <c r="F4" t="s">
        <v>269</v>
      </c>
    </row>
    <row r="5" spans="1:20" ht="24.95" customHeight="1">
      <c r="A5" t="s">
        <v>77</v>
      </c>
      <c r="B5" t="s">
        <v>81</v>
      </c>
      <c r="D5" t="s">
        <v>158</v>
      </c>
      <c r="H5" t="s">
        <v>90</v>
      </c>
      <c r="I5" t="s">
        <v>91</v>
      </c>
    </row>
    <row r="6" spans="1:20" ht="24.95" customHeight="1">
      <c r="A6" t="s">
        <v>77</v>
      </c>
      <c r="B6" t="s">
        <v>110</v>
      </c>
      <c r="E6" t="s">
        <v>49</v>
      </c>
      <c r="F6" t="s">
        <v>102</v>
      </c>
    </row>
    <row r="7" spans="1:20" ht="24.95" customHeight="1">
      <c r="A7" t="s">
        <v>83</v>
      </c>
      <c r="B7" t="s">
        <v>109</v>
      </c>
      <c r="C7" t="s">
        <v>79</v>
      </c>
      <c r="F7" t="s">
        <v>79</v>
      </c>
      <c r="H7" t="s">
        <v>92</v>
      </c>
      <c r="I7" t="s">
        <v>93</v>
      </c>
      <c r="J7" t="s">
        <v>94</v>
      </c>
      <c r="K7" t="s">
        <v>95</v>
      </c>
      <c r="L7" t="s">
        <v>96</v>
      </c>
    </row>
    <row r="8" spans="1:20" ht="24.95" customHeight="1">
      <c r="A8" t="s">
        <v>84</v>
      </c>
      <c r="B8" t="s">
        <v>113</v>
      </c>
      <c r="C8" t="s">
        <v>125</v>
      </c>
      <c r="H8" t="s">
        <v>97</v>
      </c>
    </row>
  </sheetData>
  <phoneticPr fontId="1" type="noConversion"/>
  <dataValidations count="13">
    <dataValidation type="list" allowBlank="1" showInputMessage="1" showErrorMessage="1" sqref="L1:L1048576">
      <formula1>INDIRECT(B1&amp;"景点")</formula1>
    </dataValidation>
    <dataValidation type="list" allowBlank="1" showInputMessage="1" showErrorMessage="1" sqref="E1:E1048576">
      <formula1>INDIRECT(B1&amp;"餐厅")</formula1>
    </dataValidation>
    <dataValidation type="list" allowBlank="1" showInputMessage="1" showErrorMessage="1" sqref="F1:F1048576">
      <formula1>INDIRECT(B1&amp;"住宿")</formula1>
    </dataValidation>
    <dataValidation type="list" allowBlank="1" showInputMessage="1" showErrorMessage="1" sqref="G1:G1048576">
      <formula1>INDIRECT(B1&amp;"住宿")</formula1>
    </dataValidation>
    <dataValidation type="list" allowBlank="1" showInputMessage="1" showErrorMessage="1" sqref="H1:H1048576">
      <formula1>INDIRECT(B1&amp;"景点")</formula1>
    </dataValidation>
    <dataValidation type="list" allowBlank="1" showInputMessage="1" showErrorMessage="1" sqref="I1:I1048576">
      <formula1>INDIRECT(B1&amp;"景点")</formula1>
    </dataValidation>
    <dataValidation type="list" allowBlank="1" showInputMessage="1" showErrorMessage="1" sqref="J1:J1048576">
      <formula1>INDIRECT(B1&amp;"景点")</formula1>
    </dataValidation>
    <dataValidation type="list" allowBlank="1" showInputMessage="1" showErrorMessage="1" sqref="K1:K1048576">
      <formula1>INDIRECT(B1&amp;"景点")</formula1>
    </dataValidation>
    <dataValidation type="list" allowBlank="1" showInputMessage="1" showErrorMessage="1" sqref="R1:R1048576">
      <formula1>INDIRECT(B1&amp;"购物点")</formula1>
    </dataValidation>
    <dataValidation type="list" allowBlank="1" showInputMessage="1" showErrorMessage="1" sqref="S1:S1048576">
      <formula1>INDIRECT(B1&amp;"购物点")</formula1>
    </dataValidation>
    <dataValidation type="list" allowBlank="1" showInputMessage="1" showErrorMessage="1" sqref="T1:T1048576">
      <formula1>INDIRECT(B1&amp;"购物点")</formula1>
    </dataValidation>
    <dataValidation type="list" allowBlank="1" showInputMessage="1" showErrorMessage="1" sqref="U1:U1048576">
      <formula1>INDIRECT(B1&amp;#REF!)</formula1>
    </dataValidation>
    <dataValidation type="list" allowBlank="1" showInputMessage="1" showErrorMessage="1" sqref="B1:B1048576">
      <formula1>"杭州,宁波,温州,台州,丽水,上海,苏州,嘉兴,绍兴,无锡,南京,"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controls>
    <control shapeId="1040" r:id="rId3" name="TextBox1"/>
    <control shapeId="1042" r:id="rId4" name="List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J74"/>
  <sheetViews>
    <sheetView workbookViewId="0">
      <selection activeCell="C32" sqref="C32"/>
    </sheetView>
  </sheetViews>
  <sheetFormatPr defaultColWidth="15.625" defaultRowHeight="15" customHeight="1"/>
  <sheetData>
    <row r="1" spans="1:10" ht="15" customHeight="1">
      <c r="A1" s="4" t="s">
        <v>105</v>
      </c>
      <c r="B1" s="4" t="s">
        <v>264</v>
      </c>
      <c r="C1" t="s">
        <v>258</v>
      </c>
      <c r="D1" t="s">
        <v>263</v>
      </c>
      <c r="E1" t="s">
        <v>259</v>
      </c>
      <c r="F1" t="s">
        <v>262</v>
      </c>
      <c r="G1" t="s">
        <v>260</v>
      </c>
      <c r="H1" t="s">
        <v>261</v>
      </c>
      <c r="I1" t="s">
        <v>265</v>
      </c>
      <c r="J1" t="s">
        <v>266</v>
      </c>
    </row>
    <row r="2" spans="1:10" ht="15" customHeight="1">
      <c r="A2" s="3" t="s">
        <v>106</v>
      </c>
      <c r="B2" t="s">
        <v>116</v>
      </c>
      <c r="C2" s="3" t="s">
        <v>126</v>
      </c>
      <c r="D2" t="s">
        <v>127</v>
      </c>
      <c r="E2" s="3" t="s">
        <v>126</v>
      </c>
      <c r="F2" t="s">
        <v>127</v>
      </c>
      <c r="G2" s="3" t="s">
        <v>162</v>
      </c>
      <c r="H2" t="s">
        <v>235</v>
      </c>
      <c r="I2" s="3" t="s">
        <v>162</v>
      </c>
      <c r="J2" t="s">
        <v>235</v>
      </c>
    </row>
    <row r="3" spans="1:10" ht="15" customHeight="1">
      <c r="A3" s="3" t="s">
        <v>107</v>
      </c>
      <c r="B3" t="s">
        <v>117</v>
      </c>
      <c r="C3" t="s">
        <v>50</v>
      </c>
      <c r="D3" t="s">
        <v>128</v>
      </c>
      <c r="E3" t="s">
        <v>50</v>
      </c>
      <c r="F3" t="s">
        <v>128</v>
      </c>
      <c r="G3" s="3" t="s">
        <v>163</v>
      </c>
      <c r="H3" t="s">
        <v>236</v>
      </c>
      <c r="I3" s="3" t="s">
        <v>163</v>
      </c>
      <c r="J3" t="s">
        <v>236</v>
      </c>
    </row>
    <row r="4" spans="1:10" ht="15" customHeight="1">
      <c r="A4" s="3" t="s">
        <v>108</v>
      </c>
      <c r="B4" t="s">
        <v>118</v>
      </c>
      <c r="C4" t="s">
        <v>51</v>
      </c>
      <c r="D4" t="s">
        <v>129</v>
      </c>
      <c r="E4" t="s">
        <v>51</v>
      </c>
      <c r="F4" t="s">
        <v>129</v>
      </c>
      <c r="G4" s="3" t="s">
        <v>164</v>
      </c>
      <c r="H4" t="s">
        <v>237</v>
      </c>
      <c r="I4" s="3" t="s">
        <v>164</v>
      </c>
      <c r="J4" t="s">
        <v>237</v>
      </c>
    </row>
    <row r="5" spans="1:10" ht="15" customHeight="1">
      <c r="A5" s="3" t="s">
        <v>109</v>
      </c>
      <c r="B5" t="s">
        <v>119</v>
      </c>
      <c r="C5" t="s">
        <v>52</v>
      </c>
      <c r="D5" t="s">
        <v>130</v>
      </c>
      <c r="E5" t="s">
        <v>52</v>
      </c>
      <c r="F5" t="s">
        <v>130</v>
      </c>
      <c r="G5" s="3" t="s">
        <v>165</v>
      </c>
      <c r="H5" t="s">
        <v>238</v>
      </c>
      <c r="I5" s="3" t="s">
        <v>165</v>
      </c>
      <c r="J5" t="s">
        <v>238</v>
      </c>
    </row>
    <row r="6" spans="1:10" ht="15" customHeight="1">
      <c r="A6" s="3" t="s">
        <v>110</v>
      </c>
      <c r="B6" t="s">
        <v>116</v>
      </c>
      <c r="C6" t="s">
        <v>35</v>
      </c>
      <c r="D6" t="s">
        <v>131</v>
      </c>
      <c r="E6" t="s">
        <v>35</v>
      </c>
      <c r="F6" t="s">
        <v>131</v>
      </c>
      <c r="G6" s="3" t="s">
        <v>166</v>
      </c>
      <c r="H6" t="s">
        <v>239</v>
      </c>
      <c r="I6" s="3" t="s">
        <v>166</v>
      </c>
      <c r="J6" t="s">
        <v>239</v>
      </c>
    </row>
    <row r="7" spans="1:10" ht="15" customHeight="1">
      <c r="A7" s="3" t="s">
        <v>111</v>
      </c>
      <c r="B7" t="s">
        <v>120</v>
      </c>
      <c r="C7" t="s">
        <v>82</v>
      </c>
      <c r="D7" t="s">
        <v>132</v>
      </c>
      <c r="E7" t="s">
        <v>82</v>
      </c>
      <c r="F7" t="s">
        <v>132</v>
      </c>
      <c r="G7" s="3" t="s">
        <v>167</v>
      </c>
      <c r="H7" t="s">
        <v>240</v>
      </c>
      <c r="I7" s="3" t="s">
        <v>167</v>
      </c>
      <c r="J7" t="s">
        <v>240</v>
      </c>
    </row>
    <row r="8" spans="1:10" ht="15" customHeight="1">
      <c r="A8" s="3" t="s">
        <v>112</v>
      </c>
      <c r="B8" t="s">
        <v>121</v>
      </c>
      <c r="C8" t="s">
        <v>11</v>
      </c>
      <c r="D8" t="s">
        <v>133</v>
      </c>
      <c r="E8" t="s">
        <v>11</v>
      </c>
      <c r="F8" t="s">
        <v>133</v>
      </c>
      <c r="G8" s="3" t="s">
        <v>168</v>
      </c>
      <c r="H8" t="s">
        <v>241</v>
      </c>
      <c r="I8" s="3" t="s">
        <v>168</v>
      </c>
      <c r="J8" t="s">
        <v>241</v>
      </c>
    </row>
    <row r="9" spans="1:10" ht="15" customHeight="1">
      <c r="A9" s="3" t="s">
        <v>113</v>
      </c>
      <c r="B9" t="s">
        <v>122</v>
      </c>
      <c r="C9" t="s">
        <v>44</v>
      </c>
      <c r="D9" t="s">
        <v>134</v>
      </c>
      <c r="E9" t="s">
        <v>44</v>
      </c>
      <c r="F9" t="s">
        <v>134</v>
      </c>
      <c r="G9" s="3" t="s">
        <v>169</v>
      </c>
      <c r="H9" t="s">
        <v>242</v>
      </c>
      <c r="I9" s="3" t="s">
        <v>169</v>
      </c>
      <c r="J9" t="s">
        <v>242</v>
      </c>
    </row>
    <row r="10" spans="1:10" ht="15" customHeight="1">
      <c r="A10" s="3" t="s">
        <v>114</v>
      </c>
      <c r="B10" t="s">
        <v>123</v>
      </c>
      <c r="C10" t="s">
        <v>41</v>
      </c>
      <c r="D10" t="s">
        <v>135</v>
      </c>
      <c r="E10" t="s">
        <v>41</v>
      </c>
      <c r="F10" t="s">
        <v>135</v>
      </c>
      <c r="G10" s="3" t="s">
        <v>170</v>
      </c>
      <c r="H10" t="s">
        <v>243</v>
      </c>
      <c r="I10" s="3" t="s">
        <v>170</v>
      </c>
      <c r="J10" t="s">
        <v>243</v>
      </c>
    </row>
    <row r="11" spans="1:10" ht="15" customHeight="1">
      <c r="A11" s="3" t="s">
        <v>115</v>
      </c>
      <c r="B11" t="s">
        <v>124</v>
      </c>
      <c r="C11" t="s">
        <v>42</v>
      </c>
      <c r="D11" t="s">
        <v>136</v>
      </c>
      <c r="E11" t="s">
        <v>42</v>
      </c>
      <c r="F11" t="s">
        <v>136</v>
      </c>
      <c r="G11" s="3" t="s">
        <v>171</v>
      </c>
    </row>
    <row r="12" spans="1:10" ht="15" customHeight="1">
      <c r="C12" t="s">
        <v>43</v>
      </c>
      <c r="D12" t="s">
        <v>137</v>
      </c>
      <c r="E12" t="s">
        <v>43</v>
      </c>
      <c r="F12" t="s">
        <v>137</v>
      </c>
      <c r="G12" s="3" t="s">
        <v>172</v>
      </c>
      <c r="H12" t="s">
        <v>244</v>
      </c>
    </row>
    <row r="13" spans="1:10" ht="15" customHeight="1">
      <c r="C13" t="s">
        <v>40</v>
      </c>
      <c r="D13" t="s">
        <v>138</v>
      </c>
      <c r="E13" t="s">
        <v>40</v>
      </c>
      <c r="F13" t="s">
        <v>138</v>
      </c>
      <c r="G13" s="3" t="s">
        <v>173</v>
      </c>
      <c r="H13" t="s">
        <v>245</v>
      </c>
    </row>
    <row r="14" spans="1:10" ht="15" customHeight="1">
      <c r="C14" t="s">
        <v>45</v>
      </c>
      <c r="D14" t="s">
        <v>139</v>
      </c>
      <c r="E14" t="s">
        <v>45</v>
      </c>
      <c r="F14" t="s">
        <v>139</v>
      </c>
      <c r="G14" s="3" t="s">
        <v>174</v>
      </c>
      <c r="H14" t="s">
        <v>246</v>
      </c>
    </row>
    <row r="15" spans="1:10" ht="15" customHeight="1">
      <c r="C15" t="s">
        <v>46</v>
      </c>
      <c r="D15" t="s">
        <v>140</v>
      </c>
      <c r="E15" t="s">
        <v>46</v>
      </c>
      <c r="F15" t="s">
        <v>140</v>
      </c>
      <c r="G15" t="s">
        <v>175</v>
      </c>
      <c r="H15" t="s">
        <v>247</v>
      </c>
    </row>
    <row r="16" spans="1:10" ht="15" customHeight="1">
      <c r="C16" t="s">
        <v>47</v>
      </c>
      <c r="D16" t="s">
        <v>141</v>
      </c>
      <c r="E16" t="s">
        <v>47</v>
      </c>
      <c r="F16" t="s">
        <v>141</v>
      </c>
      <c r="G16" t="s">
        <v>176</v>
      </c>
      <c r="H16" t="s">
        <v>248</v>
      </c>
    </row>
    <row r="17" spans="3:8" ht="15" customHeight="1">
      <c r="C17" t="s">
        <v>48</v>
      </c>
      <c r="D17" t="s">
        <v>142</v>
      </c>
      <c r="E17" t="s">
        <v>48</v>
      </c>
      <c r="F17" t="s">
        <v>142</v>
      </c>
      <c r="G17" t="s">
        <v>177</v>
      </c>
      <c r="H17" t="s">
        <v>249</v>
      </c>
    </row>
    <row r="18" spans="3:8" ht="15" customHeight="1">
      <c r="C18" t="s">
        <v>101</v>
      </c>
      <c r="D18" t="s">
        <v>143</v>
      </c>
      <c r="E18" t="s">
        <v>101</v>
      </c>
      <c r="F18" t="s">
        <v>143</v>
      </c>
      <c r="G18" t="s">
        <v>178</v>
      </c>
      <c r="H18" t="s">
        <v>250</v>
      </c>
    </row>
    <row r="19" spans="3:8" ht="15" customHeight="1">
      <c r="C19" t="s">
        <v>100</v>
      </c>
      <c r="D19" t="s">
        <v>144</v>
      </c>
      <c r="E19" t="s">
        <v>100</v>
      </c>
      <c r="F19" t="s">
        <v>144</v>
      </c>
      <c r="G19" t="s">
        <v>179</v>
      </c>
      <c r="H19" t="s">
        <v>251</v>
      </c>
    </row>
    <row r="20" spans="3:8" ht="15" customHeight="1">
      <c r="C20" t="s">
        <v>33</v>
      </c>
      <c r="D20" t="s">
        <v>145</v>
      </c>
      <c r="E20" t="s">
        <v>33</v>
      </c>
      <c r="F20" t="s">
        <v>145</v>
      </c>
      <c r="G20" t="s">
        <v>180</v>
      </c>
      <c r="H20" t="s">
        <v>252</v>
      </c>
    </row>
    <row r="21" spans="3:8" ht="15" customHeight="1">
      <c r="C21" t="s">
        <v>34</v>
      </c>
      <c r="D21" t="s">
        <v>146</v>
      </c>
      <c r="E21" t="s">
        <v>34</v>
      </c>
      <c r="F21" t="s">
        <v>146</v>
      </c>
      <c r="G21" t="s">
        <v>181</v>
      </c>
      <c r="H21" t="s">
        <v>253</v>
      </c>
    </row>
    <row r="22" spans="3:8" ht="15" customHeight="1">
      <c r="C22" t="s">
        <v>56</v>
      </c>
      <c r="D22" t="s">
        <v>147</v>
      </c>
      <c r="E22" t="s">
        <v>56</v>
      </c>
      <c r="F22" t="s">
        <v>147</v>
      </c>
      <c r="G22" t="s">
        <v>182</v>
      </c>
      <c r="H22" t="s">
        <v>254</v>
      </c>
    </row>
    <row r="23" spans="3:8" ht="15" customHeight="1">
      <c r="C23" t="s">
        <v>57</v>
      </c>
      <c r="D23" t="s">
        <v>148</v>
      </c>
      <c r="E23" t="s">
        <v>57</v>
      </c>
      <c r="F23" t="s">
        <v>148</v>
      </c>
      <c r="G23" t="s">
        <v>183</v>
      </c>
      <c r="H23" t="s">
        <v>255</v>
      </c>
    </row>
    <row r="24" spans="3:8" ht="15" customHeight="1">
      <c r="C24" t="s">
        <v>58</v>
      </c>
      <c r="D24" t="s">
        <v>149</v>
      </c>
      <c r="E24" t="s">
        <v>58</v>
      </c>
      <c r="F24" t="s">
        <v>149</v>
      </c>
      <c r="G24" t="s">
        <v>184</v>
      </c>
      <c r="H24" t="s">
        <v>256</v>
      </c>
    </row>
    <row r="25" spans="3:8" ht="15" customHeight="1">
      <c r="C25" t="s">
        <v>59</v>
      </c>
      <c r="D25" t="s">
        <v>152</v>
      </c>
      <c r="E25" t="s">
        <v>59</v>
      </c>
      <c r="F25" t="s">
        <v>152</v>
      </c>
      <c r="G25" t="s">
        <v>185</v>
      </c>
      <c r="H25" t="s">
        <v>257</v>
      </c>
    </row>
    <row r="26" spans="3:8" ht="15" customHeight="1">
      <c r="C26" t="s">
        <v>38</v>
      </c>
      <c r="D26" t="s">
        <v>153</v>
      </c>
      <c r="E26" t="s">
        <v>38</v>
      </c>
      <c r="F26" t="s">
        <v>153</v>
      </c>
      <c r="G26" t="s">
        <v>186</v>
      </c>
    </row>
    <row r="27" spans="3:8" ht="15" customHeight="1">
      <c r="C27" t="s">
        <v>39</v>
      </c>
      <c r="D27" t="s">
        <v>154</v>
      </c>
      <c r="E27" t="s">
        <v>39</v>
      </c>
      <c r="F27" t="s">
        <v>154</v>
      </c>
      <c r="G27" t="s">
        <v>187</v>
      </c>
    </row>
    <row r="28" spans="3:8" ht="15" customHeight="1">
      <c r="C28" t="s">
        <v>53</v>
      </c>
      <c r="D28" t="s">
        <v>155</v>
      </c>
      <c r="E28" t="s">
        <v>53</v>
      </c>
      <c r="F28" t="s">
        <v>155</v>
      </c>
      <c r="G28" t="s">
        <v>188</v>
      </c>
    </row>
    <row r="29" spans="3:8" ht="15" customHeight="1">
      <c r="C29" t="s">
        <v>54</v>
      </c>
      <c r="D29" t="s">
        <v>156</v>
      </c>
      <c r="E29" t="s">
        <v>54</v>
      </c>
      <c r="F29" t="s">
        <v>156</v>
      </c>
      <c r="G29" t="s">
        <v>189</v>
      </c>
    </row>
    <row r="30" spans="3:8" ht="15" customHeight="1">
      <c r="C30" t="s">
        <v>55</v>
      </c>
      <c r="D30" t="s">
        <v>157</v>
      </c>
      <c r="E30" t="s">
        <v>55</v>
      </c>
      <c r="F30" t="s">
        <v>157</v>
      </c>
      <c r="G30" t="s">
        <v>190</v>
      </c>
    </row>
    <row r="31" spans="3:8" ht="15" customHeight="1">
      <c r="C31" s="3" t="s">
        <v>150</v>
      </c>
      <c r="D31" t="s">
        <v>151</v>
      </c>
      <c r="E31" s="3"/>
      <c r="G31" t="s">
        <v>191</v>
      </c>
    </row>
    <row r="32" spans="3:8" ht="15" customHeight="1">
      <c r="E32" s="3"/>
      <c r="G32" t="s">
        <v>192</v>
      </c>
    </row>
    <row r="33" spans="5:7" ht="15" customHeight="1">
      <c r="E33" s="3"/>
      <c r="G33" t="s">
        <v>193</v>
      </c>
    </row>
    <row r="34" spans="5:7" ht="15" customHeight="1">
      <c r="E34" s="3"/>
      <c r="G34" t="s">
        <v>194</v>
      </c>
    </row>
    <row r="35" spans="5:7" ht="15" customHeight="1">
      <c r="E35" s="3"/>
      <c r="G35" t="s">
        <v>195</v>
      </c>
    </row>
    <row r="36" spans="5:7" ht="15" customHeight="1">
      <c r="E36" s="3"/>
      <c r="G36" t="s">
        <v>196</v>
      </c>
    </row>
    <row r="37" spans="5:7" ht="15" customHeight="1">
      <c r="E37" s="3"/>
      <c r="G37" t="s">
        <v>197</v>
      </c>
    </row>
    <row r="38" spans="5:7" ht="15" customHeight="1">
      <c r="E38" s="3"/>
      <c r="G38" t="s">
        <v>198</v>
      </c>
    </row>
    <row r="39" spans="5:7" ht="15" customHeight="1">
      <c r="E39" s="3"/>
      <c r="G39" t="s">
        <v>199</v>
      </c>
    </row>
    <row r="40" spans="5:7" ht="15" customHeight="1">
      <c r="E40" s="3"/>
      <c r="G40" t="s">
        <v>200</v>
      </c>
    </row>
    <row r="41" spans="5:7" ht="15" customHeight="1">
      <c r="E41" s="3"/>
      <c r="G41" t="s">
        <v>201</v>
      </c>
    </row>
    <row r="42" spans="5:7" ht="15" customHeight="1">
      <c r="E42" s="3"/>
      <c r="G42" t="s">
        <v>202</v>
      </c>
    </row>
    <row r="43" spans="5:7" ht="15" customHeight="1">
      <c r="E43" s="3"/>
      <c r="G43" t="s">
        <v>203</v>
      </c>
    </row>
    <row r="44" spans="5:7" ht="15" customHeight="1">
      <c r="E44" s="3"/>
      <c r="G44" t="s">
        <v>204</v>
      </c>
    </row>
    <row r="45" spans="5:7" ht="15" customHeight="1">
      <c r="G45" t="s">
        <v>205</v>
      </c>
    </row>
    <row r="46" spans="5:7" ht="15" customHeight="1">
      <c r="G46" t="s">
        <v>206</v>
      </c>
    </row>
    <row r="47" spans="5:7" ht="15" customHeight="1">
      <c r="G47" t="s">
        <v>207</v>
      </c>
    </row>
    <row r="48" spans="5:7" ht="15" customHeight="1">
      <c r="G48" t="s">
        <v>208</v>
      </c>
    </row>
    <row r="49" spans="7:7" ht="15" customHeight="1">
      <c r="G49" t="s">
        <v>209</v>
      </c>
    </row>
    <row r="50" spans="7:7" ht="15" customHeight="1">
      <c r="G50" t="s">
        <v>210</v>
      </c>
    </row>
    <row r="51" spans="7:7" ht="15" customHeight="1">
      <c r="G51" t="s">
        <v>211</v>
      </c>
    </row>
    <row r="52" spans="7:7" ht="15" customHeight="1">
      <c r="G52" t="s">
        <v>212</v>
      </c>
    </row>
    <row r="53" spans="7:7" ht="15" customHeight="1">
      <c r="G53" t="s">
        <v>213</v>
      </c>
    </row>
    <row r="54" spans="7:7" ht="15" customHeight="1">
      <c r="G54" t="s">
        <v>214</v>
      </c>
    </row>
    <row r="55" spans="7:7" ht="15" customHeight="1">
      <c r="G55" t="s">
        <v>215</v>
      </c>
    </row>
    <row r="56" spans="7:7" ht="15" customHeight="1">
      <c r="G56" t="s">
        <v>216</v>
      </c>
    </row>
    <row r="57" spans="7:7" ht="15" customHeight="1">
      <c r="G57" t="s">
        <v>217</v>
      </c>
    </row>
    <row r="58" spans="7:7" ht="15" customHeight="1">
      <c r="G58" t="s">
        <v>218</v>
      </c>
    </row>
    <row r="59" spans="7:7" ht="15" customHeight="1">
      <c r="G59" t="s">
        <v>219</v>
      </c>
    </row>
    <row r="60" spans="7:7" ht="15" customHeight="1">
      <c r="G60" t="s">
        <v>220</v>
      </c>
    </row>
    <row r="61" spans="7:7" ht="15" customHeight="1">
      <c r="G61" t="s">
        <v>221</v>
      </c>
    </row>
    <row r="62" spans="7:7" ht="15" customHeight="1">
      <c r="G62" t="s">
        <v>222</v>
      </c>
    </row>
    <row r="63" spans="7:7" ht="15" customHeight="1">
      <c r="G63" t="s">
        <v>223</v>
      </c>
    </row>
    <row r="64" spans="7:7" ht="15" customHeight="1">
      <c r="G64" t="s">
        <v>224</v>
      </c>
    </row>
    <row r="65" spans="7:7" ht="15" customHeight="1">
      <c r="G65" t="s">
        <v>225</v>
      </c>
    </row>
    <row r="66" spans="7:7" ht="15" customHeight="1">
      <c r="G66" t="s">
        <v>226</v>
      </c>
    </row>
    <row r="67" spans="7:7" ht="15" customHeight="1">
      <c r="G67" t="s">
        <v>227</v>
      </c>
    </row>
    <row r="68" spans="7:7" ht="15" customHeight="1">
      <c r="G68" t="s">
        <v>228</v>
      </c>
    </row>
    <row r="69" spans="7:7" ht="15" customHeight="1">
      <c r="G69" t="s">
        <v>229</v>
      </c>
    </row>
    <row r="70" spans="7:7" ht="15" customHeight="1">
      <c r="G70" t="s">
        <v>230</v>
      </c>
    </row>
    <row r="71" spans="7:7" ht="15" customHeight="1">
      <c r="G71" t="s">
        <v>231</v>
      </c>
    </row>
    <row r="72" spans="7:7" ht="15" customHeight="1">
      <c r="G72" t="s">
        <v>232</v>
      </c>
    </row>
    <row r="73" spans="7:7" ht="15" customHeight="1">
      <c r="G73" t="s">
        <v>233</v>
      </c>
    </row>
    <row r="74" spans="7:7" ht="15" customHeight="1">
      <c r="G74" t="s">
        <v>234</v>
      </c>
    </row>
  </sheetData>
  <sheetProtection password="CA8B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基本信息</vt:lpstr>
      <vt:lpstr>团队信息</vt:lpstr>
      <vt:lpstr>行程信息</vt:lpstr>
      <vt:lpstr>数据表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2012-10-23T05:21:02Z</dcterms:modified>
</cp:coreProperties>
</file>